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DDcatStudio\Git_Projects\Project001_BootloaderTools\STM32F103C8T6_Code\Bootloader_Platform_F103C8T6\Doc\"/>
    </mc:Choice>
  </mc:AlternateContent>
  <xr:revisionPtr revIDLastSave="0" documentId="13_ncr:1_{151B893D-FDB3-464C-830A-2F78BEDD6124}" xr6:coauthVersionLast="47" xr6:coauthVersionMax="47" xr10:uidLastSave="{00000000-0000-0000-0000-000000000000}"/>
  <bookViews>
    <workbookView xWindow="9890" yWindow="4000" windowWidth="23410" windowHeight="12810" xr2:uid="{00000000-000D-0000-FFFF-FFFF00000000}"/>
  </bookViews>
  <sheets>
    <sheet name="HSI" sheetId="1" r:id="rId1"/>
    <sheet name="Task调度" sheetId="3" r:id="rId2"/>
    <sheet name="FLASH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1" l="1"/>
  <c r="L7" i="1"/>
  <c r="I7" i="1"/>
  <c r="J7" i="1" s="1"/>
  <c r="K7" i="1"/>
  <c r="J5" i="1"/>
  <c r="G5" i="1"/>
  <c r="I5" i="1"/>
  <c r="K5" i="1"/>
  <c r="I2" i="1"/>
  <c r="J2" i="1" s="1"/>
  <c r="G2" i="1"/>
  <c r="K2" i="1" l="1"/>
  <c r="L2" i="1" s="1"/>
</calcChain>
</file>

<file path=xl/sharedStrings.xml><?xml version="1.0" encoding="utf-8"?>
<sst xmlns="http://schemas.openxmlformats.org/spreadsheetml/2006/main" count="49" uniqueCount="38">
  <si>
    <t>TIM4</t>
    <phoneticPr fontId="1" type="noConversion"/>
  </si>
  <si>
    <t>Prescaler</t>
    <phoneticPr fontId="1" type="noConversion"/>
  </si>
  <si>
    <t>AutoReload</t>
    <phoneticPr fontId="1" type="noConversion"/>
  </si>
  <si>
    <t>BUS CLK
（MHz）</t>
    <phoneticPr fontId="1" type="noConversion"/>
  </si>
  <si>
    <t>Freq
（Hz）</t>
    <phoneticPr fontId="1" type="noConversion"/>
  </si>
  <si>
    <t>Description</t>
    <phoneticPr fontId="1" type="noConversion"/>
  </si>
  <si>
    <t>系统任务基准定时1ms</t>
    <phoneticPr fontId="1" type="noConversion"/>
  </si>
  <si>
    <t>Sector 0</t>
    <phoneticPr fontId="1" type="noConversion"/>
  </si>
  <si>
    <t>Sector 1</t>
  </si>
  <si>
    <t>Sector 2</t>
  </si>
  <si>
    <t>Sector 3</t>
  </si>
  <si>
    <t>Sector 4</t>
  </si>
  <si>
    <t>Sector 5</t>
  </si>
  <si>
    <t>Sector 6</t>
  </si>
  <si>
    <t>Sector 63</t>
    <phoneticPr fontId="1" type="noConversion"/>
  </si>
  <si>
    <t>1K</t>
  </si>
  <si>
    <t>1K</t>
    <phoneticPr fontId="1" type="noConversion"/>
  </si>
  <si>
    <t>0x0800 0000</t>
    <phoneticPr fontId="1" type="noConversion"/>
  </si>
  <si>
    <t>0x0800 0400</t>
    <phoneticPr fontId="1" type="noConversion"/>
  </si>
  <si>
    <t>0x0800 0C00</t>
    <phoneticPr fontId="1" type="noConversion"/>
  </si>
  <si>
    <t>0x0800 1000</t>
    <phoneticPr fontId="1" type="noConversion"/>
  </si>
  <si>
    <t>0x0800 1400</t>
    <phoneticPr fontId="1" type="noConversion"/>
  </si>
  <si>
    <t>0x0800 FC00</t>
    <phoneticPr fontId="1" type="noConversion"/>
  </si>
  <si>
    <t>BOOT</t>
    <phoneticPr fontId="1" type="noConversion"/>
  </si>
  <si>
    <t>EEPROM</t>
    <phoneticPr fontId="1" type="noConversion"/>
  </si>
  <si>
    <t>APP</t>
    <phoneticPr fontId="1" type="noConversion"/>
  </si>
  <si>
    <t>最长计数时间
（us）</t>
    <phoneticPr fontId="1" type="noConversion"/>
  </si>
  <si>
    <t>计数分辨率
（us）</t>
    <phoneticPr fontId="1" type="noConversion"/>
  </si>
  <si>
    <t>计数分辨率
（ns）</t>
    <phoneticPr fontId="1" type="noConversion"/>
  </si>
  <si>
    <t>OS性能测量备选</t>
    <phoneticPr fontId="1" type="noConversion"/>
  </si>
  <si>
    <t>最长计数时间
（ms）</t>
    <phoneticPr fontId="1" type="noConversion"/>
  </si>
  <si>
    <t>SysTick</t>
    <phoneticPr fontId="1" type="noConversion"/>
  </si>
  <si>
    <t>TIM3</t>
    <phoneticPr fontId="1" type="noConversion"/>
  </si>
  <si>
    <t>HAL库用，自动配置</t>
    <phoneticPr fontId="1" type="noConversion"/>
  </si>
  <si>
    <t>Task_1ms</t>
    <phoneticPr fontId="1" type="noConversion"/>
  </si>
  <si>
    <t>UartIf_MainFunction_Tx</t>
  </si>
  <si>
    <t>Task_5ms</t>
    <phoneticPr fontId="1" type="noConversion"/>
  </si>
  <si>
    <t>UartIf_MainFunction_Rx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</si>
</sst>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7"/>
  <sheetViews>
    <sheetView tabSelected="1" workbookViewId="0">
      <selection activeCell="C27" sqref="C27"/>
    </sheetView>
  </sheetViews>
  <sheetFormatPr defaultRowHeight="14" x14ac:dyDescent="0.3"/>
  <cols>
    <col min="1" max="3" width="8.6640625" style="1"/>
    <col min="4" max="4" width="9.4140625" style="1" customWidth="1"/>
    <col min="5" max="5" width="11.75" style="1" customWidth="1"/>
    <col min="6" max="6" width="14.4140625" style="1" customWidth="1"/>
    <col min="7" max="7" width="12" style="1" customWidth="1"/>
    <col min="8" max="8" width="40.5" style="1" customWidth="1"/>
    <col min="9" max="10" width="17.75" style="1" customWidth="1"/>
    <col min="11" max="11" width="15" style="1" customWidth="1"/>
    <col min="12" max="12" width="19.58203125" style="1" customWidth="1"/>
    <col min="13" max="16384" width="8.6640625" style="1"/>
  </cols>
  <sheetData>
    <row r="1" spans="2:12" ht="28" x14ac:dyDescent="0.3">
      <c r="D1" s="2" t="s">
        <v>3</v>
      </c>
      <c r="E1" s="1" t="s">
        <v>1</v>
      </c>
      <c r="F1" s="1" t="s">
        <v>2</v>
      </c>
      <c r="G1" s="2" t="s">
        <v>4</v>
      </c>
      <c r="H1" s="1" t="s">
        <v>5</v>
      </c>
      <c r="I1" s="2" t="s">
        <v>27</v>
      </c>
      <c r="J1" s="2" t="s">
        <v>28</v>
      </c>
      <c r="K1" s="2" t="s">
        <v>26</v>
      </c>
      <c r="L1" s="2" t="s">
        <v>30</v>
      </c>
    </row>
    <row r="2" spans="2:12" x14ac:dyDescent="0.3">
      <c r="B2" s="1" t="s">
        <v>0</v>
      </c>
      <c r="C2" s="1">
        <v>16</v>
      </c>
      <c r="D2" s="1">
        <v>72</v>
      </c>
      <c r="E2" s="1">
        <v>9</v>
      </c>
      <c r="F2" s="1">
        <v>8000</v>
      </c>
      <c r="G2" s="1">
        <f>D2*1000000/E2/F2</f>
        <v>1000</v>
      </c>
      <c r="H2" s="1" t="s">
        <v>6</v>
      </c>
      <c r="I2" s="1">
        <f>1/D2*E2</f>
        <v>0.125</v>
      </c>
      <c r="J2" s="1">
        <f>1000*I2</f>
        <v>125</v>
      </c>
      <c r="K2" s="1">
        <f>2^C2*I2</f>
        <v>8192</v>
      </c>
      <c r="L2" s="1">
        <f>K2/1000</f>
        <v>8.1920000000000002</v>
      </c>
    </row>
    <row r="5" spans="2:12" x14ac:dyDescent="0.3">
      <c r="B5" s="1" t="s">
        <v>32</v>
      </c>
      <c r="C5" s="1">
        <v>16</v>
      </c>
      <c r="D5" s="1">
        <v>72</v>
      </c>
      <c r="E5" s="1">
        <v>1</v>
      </c>
      <c r="F5" s="1">
        <v>65535</v>
      </c>
      <c r="G5" s="1">
        <f t="shared" ref="G5" si="0">D5*1000000/E5/F5</f>
        <v>1098.6495765621423</v>
      </c>
      <c r="H5" s="1" t="s">
        <v>33</v>
      </c>
      <c r="I5" s="1">
        <f t="shared" ref="I5" si="1">1/D5*E5</f>
        <v>1.3888888888888888E-2</v>
      </c>
      <c r="J5" s="1">
        <f t="shared" ref="J3:J10" si="2">1000*I5</f>
        <v>13.888888888888888</v>
      </c>
      <c r="K5" s="1">
        <f>2^C5*I5</f>
        <v>910.22222222222217</v>
      </c>
      <c r="L5" s="1">
        <f t="shared" ref="L3:L8" si="3">K5/1000</f>
        <v>0.91022222222222215</v>
      </c>
    </row>
    <row r="7" spans="2:12" x14ac:dyDescent="0.3">
      <c r="B7" s="1" t="s">
        <v>31</v>
      </c>
      <c r="C7" s="1">
        <v>24</v>
      </c>
      <c r="D7" s="1">
        <v>72</v>
      </c>
      <c r="E7" s="1">
        <v>1</v>
      </c>
      <c r="H7" s="1" t="s">
        <v>29</v>
      </c>
      <c r="I7" s="1">
        <f t="shared" ref="I6:I10" si="4">1/D7*E7</f>
        <v>1.3888888888888888E-2</v>
      </c>
      <c r="J7" s="1">
        <f t="shared" si="2"/>
        <v>13.888888888888888</v>
      </c>
      <c r="K7" s="1">
        <f t="shared" ref="K6:K10" si="5">2^C7*I7</f>
        <v>233016.88888888888</v>
      </c>
      <c r="L7" s="1">
        <f t="shared" si="3"/>
        <v>233.01688888888887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4677C-A358-4007-9ECE-00A2E9772245}">
  <dimension ref="B3:D7"/>
  <sheetViews>
    <sheetView workbookViewId="0">
      <selection activeCell="C20" sqref="C20"/>
    </sheetView>
  </sheetViews>
  <sheetFormatPr defaultRowHeight="14" x14ac:dyDescent="0.3"/>
  <cols>
    <col min="2" max="2" width="14.9140625" customWidth="1"/>
    <col min="4" max="4" width="31.5" customWidth="1"/>
  </cols>
  <sheetData>
    <row r="3" spans="2:4" x14ac:dyDescent="0.3">
      <c r="B3" t="s">
        <v>34</v>
      </c>
      <c r="D3" t="s">
        <v>35</v>
      </c>
    </row>
    <row r="7" spans="2:4" x14ac:dyDescent="0.3">
      <c r="B7" t="s">
        <v>36</v>
      </c>
      <c r="D7" t="s">
        <v>37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F60AD-8E24-4CF3-9899-169B51FA4C30}">
  <dimension ref="A2:D14"/>
  <sheetViews>
    <sheetView workbookViewId="0">
      <selection activeCell="C28" sqref="C28"/>
    </sheetView>
  </sheetViews>
  <sheetFormatPr defaultRowHeight="14" x14ac:dyDescent="0.3"/>
  <cols>
    <col min="3" max="3" width="12" customWidth="1"/>
    <col min="4" max="4" width="14.33203125" customWidth="1"/>
  </cols>
  <sheetData>
    <row r="2" spans="1:4" x14ac:dyDescent="0.3">
      <c r="A2" t="s">
        <v>7</v>
      </c>
      <c r="B2" t="s">
        <v>16</v>
      </c>
      <c r="C2" t="s">
        <v>17</v>
      </c>
      <c r="D2" t="s">
        <v>23</v>
      </c>
    </row>
    <row r="3" spans="1:4" x14ac:dyDescent="0.3">
      <c r="A3" t="s">
        <v>8</v>
      </c>
      <c r="B3" t="s">
        <v>16</v>
      </c>
      <c r="C3" t="s">
        <v>18</v>
      </c>
    </row>
    <row r="4" spans="1:4" x14ac:dyDescent="0.3">
      <c r="A4" t="s">
        <v>9</v>
      </c>
      <c r="B4" t="s">
        <v>15</v>
      </c>
      <c r="C4" t="s">
        <v>19</v>
      </c>
    </row>
    <row r="5" spans="1:4" x14ac:dyDescent="0.3">
      <c r="A5" t="s">
        <v>10</v>
      </c>
      <c r="B5" t="s">
        <v>15</v>
      </c>
      <c r="C5" t="s">
        <v>20</v>
      </c>
    </row>
    <row r="6" spans="1:4" x14ac:dyDescent="0.3">
      <c r="A6" t="s">
        <v>11</v>
      </c>
      <c r="B6" t="s">
        <v>15</v>
      </c>
      <c r="C6" t="s">
        <v>21</v>
      </c>
    </row>
    <row r="7" spans="1:4" x14ac:dyDescent="0.3">
      <c r="A7" t="s">
        <v>12</v>
      </c>
      <c r="B7" t="s">
        <v>15</v>
      </c>
    </row>
    <row r="8" spans="1:4" x14ac:dyDescent="0.3">
      <c r="A8" t="s">
        <v>13</v>
      </c>
      <c r="B8" t="s">
        <v>15</v>
      </c>
    </row>
    <row r="9" spans="1:4" x14ac:dyDescent="0.3">
      <c r="B9" t="s">
        <v>15</v>
      </c>
      <c r="D9" t="s">
        <v>24</v>
      </c>
    </row>
    <row r="10" spans="1:4" x14ac:dyDescent="0.3">
      <c r="B10" t="s">
        <v>15</v>
      </c>
      <c r="D10" t="s">
        <v>25</v>
      </c>
    </row>
    <row r="11" spans="1:4" x14ac:dyDescent="0.3">
      <c r="B11" t="s">
        <v>15</v>
      </c>
    </row>
    <row r="12" spans="1:4" x14ac:dyDescent="0.3">
      <c r="B12" t="s">
        <v>15</v>
      </c>
    </row>
    <row r="13" spans="1:4" x14ac:dyDescent="0.3">
      <c r="B13" t="s">
        <v>15</v>
      </c>
    </row>
    <row r="14" spans="1:4" x14ac:dyDescent="0.3">
      <c r="A14" t="s">
        <v>14</v>
      </c>
      <c r="B14" t="s">
        <v>15</v>
      </c>
      <c r="C14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HSI</vt:lpstr>
      <vt:lpstr>Task调度</vt:lpstr>
      <vt:lpstr>FLASH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tingchun Liao</dc:creator>
  <cp:lastModifiedBy>tingchun Liao</cp:lastModifiedBy>
  <dcterms:created xsi:type="dcterms:W3CDTF">2015-06-05T18:19:34Z</dcterms:created>
  <dcterms:modified xsi:type="dcterms:W3CDTF">2026-05-30T12:30:15Z</dcterms:modified>
</cp:coreProperties>
</file>